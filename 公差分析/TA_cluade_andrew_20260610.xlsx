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3CA9B50-239F-4700-BA45-B596570B2A16}" xr6:coauthVersionLast="47" xr6:coauthVersionMax="47" xr10:uidLastSave="{00000000-0000-0000-0000-000000000000}"/>
  <workbookProtection workbookAlgorithmName="SHA-512" workbookHashValue="me/dh3Fb/qhXviXuQ/u8ZU1VfTx+8JnMloYufzKjRBzaauicgOlhYChhybMAwPXN7GEQWtrPcyDfzV8gCTkhRQ==" workbookSaltValue="++iYBs04Ssqu1UphxboBqg==" workbookSpinCount="100000" lockStructure="1"/>
  <bookViews>
    <workbookView xWindow="38280" yWindow="5175" windowWidth="29040" windowHeight="15840" xr2:uid="{11D98E33-DA18-42E9-8895-CFE87BC731C4}"/>
  </bookViews>
  <sheets>
    <sheet name="西格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E22" i="1"/>
  <c r="D22" i="1"/>
  <c r="F27" i="1"/>
  <c r="G7" i="1" s="1"/>
  <c r="G22" i="1" s="1"/>
  <c r="G29" i="1" s="1"/>
  <c r="F28" i="1" l="1"/>
  <c r="F7" i="1"/>
  <c r="H7" i="1" s="1"/>
  <c r="F22" i="1" l="1"/>
  <c r="F29" i="1" s="1"/>
  <c r="F30" i="1" l="1"/>
  <c r="F31" i="1" s="1"/>
  <c r="F33" i="1" s="1"/>
  <c r="G30" i="1"/>
  <c r="G31" i="1" s="1"/>
  <c r="G33" i="1" s="1"/>
  <c r="F32" i="1" l="1"/>
  <c r="G36" i="1" s="1"/>
  <c r="I37" i="1" s="1"/>
  <c r="E38" i="1" s="1"/>
  <c r="G32" i="1"/>
</calcChain>
</file>

<file path=xl/sharedStrings.xml><?xml version="1.0" encoding="utf-8"?>
<sst xmlns="http://schemas.openxmlformats.org/spreadsheetml/2006/main" count="67" uniqueCount="47">
  <si>
    <t>Tolerance Type</t>
  </si>
  <si>
    <t>No.</t>
  </si>
  <si>
    <t>Descroption</t>
    <phoneticPr fontId="2" type="noConversion"/>
  </si>
  <si>
    <t>增環</t>
  </si>
  <si>
    <t>減環</t>
  </si>
  <si>
    <t>Tolerance</t>
  </si>
  <si>
    <t xml:space="preserve">Tolerance </t>
  </si>
  <si>
    <t>+</t>
  </si>
  <si>
    <t>-</t>
  </si>
  <si>
    <t>Max</t>
  </si>
  <si>
    <t>Min.</t>
  </si>
  <si>
    <t>軸-孔</t>
    <phoneticPr fontId="2" type="noConversion"/>
  </si>
  <si>
    <t>Dimension Tolerance</t>
  </si>
  <si>
    <t>Pane中心到lcd bkt側壁尺寸</t>
    <phoneticPr fontId="2" type="noConversion"/>
  </si>
  <si>
    <t>常態</t>
    <phoneticPr fontId="2" type="noConversion"/>
  </si>
  <si>
    <r>
      <t>Chassis Hole距離lcd bkt側壁尺寸：</t>
    </r>
    <r>
      <rPr>
        <sz val="14"/>
        <color rgb="FFFF0000"/>
        <rFont val="楷体"/>
        <family val="3"/>
        <charset val="134"/>
      </rPr>
      <t>【位置度】</t>
    </r>
    <phoneticPr fontId="2" type="noConversion"/>
  </si>
  <si>
    <t>Asm shift lcd bkt hole-screw</t>
    <phoneticPr fontId="2" type="noConversion"/>
  </si>
  <si>
    <t>均勻</t>
    <phoneticPr fontId="2" type="noConversion"/>
  </si>
  <si>
    <t>M圈(MMC)</t>
    <phoneticPr fontId="2" type="noConversion"/>
  </si>
  <si>
    <t xml:space="preserve"> </t>
    <phoneticPr fontId="2" type="noConversion"/>
  </si>
  <si>
    <t>前框Boss Hole到中心距離尺寸</t>
    <phoneticPr fontId="2" type="noConversion"/>
  </si>
  <si>
    <t>DIM. SUM of LOOP</t>
  </si>
  <si>
    <t>WORSE CASE</t>
    <phoneticPr fontId="2" type="noConversion"/>
  </si>
  <si>
    <t>CAL. Value</t>
  </si>
  <si>
    <t>3 σ</t>
    <phoneticPr fontId="2" type="noConversion"/>
  </si>
  <si>
    <t>Conclusions:</t>
  </si>
  <si>
    <t>TP與Panel的中心偏移值：查看3 σ的值。 
如果TP偏移規格值是&lt;=3 σ的值就fail。</t>
    <phoneticPr fontId="2" type="noConversion"/>
  </si>
  <si>
    <t>Design gap =</t>
  </si>
  <si>
    <t>Solution</t>
  </si>
  <si>
    <t>優先調整lcd bracket的孔徑。</t>
    <phoneticPr fontId="2" type="noConversion"/>
  </si>
  <si>
    <t>標準差</t>
    <phoneticPr fontId="2" type="noConversion"/>
  </si>
  <si>
    <t>Sum of Squares 標準差平方和</t>
    <phoneticPr fontId="2" type="noConversion"/>
  </si>
  <si>
    <t>請輸入規格值</t>
  </si>
  <si>
    <t>標準差規格</t>
    <phoneticPr fontId="2" type="noConversion"/>
  </si>
  <si>
    <t>判定</t>
    <phoneticPr fontId="2" type="noConversion"/>
  </si>
  <si>
    <t>Nominal</t>
    <phoneticPr fontId="2" type="noConversion"/>
  </si>
  <si>
    <t>均勻</t>
  </si>
  <si>
    <t>分佈</t>
    <phoneticPr fontId="2" type="noConversion"/>
  </si>
  <si>
    <r>
      <t xml:space="preserve"> Conclusion</t>
    </r>
    <r>
      <rPr>
        <i/>
        <sz val="16"/>
        <rFont val="楷体"/>
        <family val="3"/>
        <charset val="134"/>
      </rPr>
      <t xml:space="preserve"> : Design gap is reasonable for assembly according to above tolerance analysis.</t>
    </r>
  </si>
  <si>
    <t>常態</t>
  </si>
  <si>
    <t>list</t>
    <phoneticPr fontId="2" type="noConversion"/>
  </si>
  <si>
    <r>
      <t>Tolerance Analysis for TP-Module Assembly (</t>
    </r>
    <r>
      <rPr>
        <sz val="14"/>
        <color rgb="FFFFFFFF"/>
        <rFont val="楷体"/>
        <family val="3"/>
        <charset val="134"/>
      </rPr>
      <t>X</t>
    </r>
    <r>
      <rPr>
        <sz val="14"/>
        <color indexed="9"/>
        <rFont val="楷体"/>
        <family val="3"/>
        <charset val="134"/>
      </rPr>
      <t>-Direction)</t>
    </r>
    <phoneticPr fontId="2" type="noConversion"/>
  </si>
  <si>
    <t>【(孔+上限)-(軸-下限)】/2</t>
    <phoneticPr fontId="2" type="noConversion"/>
  </si>
  <si>
    <t>Asm shift</t>
    <phoneticPr fontId="2" type="noConversion"/>
  </si>
  <si>
    <t>1 σ</t>
    <phoneticPr fontId="2" type="noConversion"/>
  </si>
  <si>
    <t>4 .5σ</t>
    <phoneticPr fontId="2" type="noConversion"/>
  </si>
  <si>
    <t>If design gap ≧ 3σ，design gap will be OK.  Otherwise is NG!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</si>
</sst>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_ "/>
    <numFmt numFmtId="178" formatCode="0.000_ "/>
  </numFmts>
  <fonts count="16">
    <font>
      <sz val="12"/>
      <name val="新細明體"/>
      <family val="1"/>
      <charset val="136"/>
    </font>
    <font>
      <sz val="16"/>
      <name val="楷体"/>
      <family val="3"/>
      <charset val="134"/>
    </font>
    <font>
      <sz val="9"/>
      <name val="新細明體"/>
      <family val="1"/>
      <charset val="136"/>
    </font>
    <font>
      <sz val="12"/>
      <name val="楷体"/>
      <family val="3"/>
      <charset val="134"/>
    </font>
    <font>
      <sz val="14"/>
      <name val="楷体"/>
      <family val="3"/>
      <charset val="134"/>
    </font>
    <font>
      <sz val="12"/>
      <color theme="1"/>
      <name val="楷体"/>
      <family val="3"/>
      <charset val="134"/>
    </font>
    <font>
      <sz val="12"/>
      <color rgb="FFFF0000"/>
      <name val="楷体"/>
      <family val="3"/>
      <charset val="134"/>
    </font>
    <font>
      <sz val="14"/>
      <color rgb="FFFF0000"/>
      <name val="楷体"/>
      <family val="3"/>
      <charset val="134"/>
    </font>
    <font>
      <sz val="10"/>
      <name val="楷体"/>
      <family val="3"/>
      <charset val="134"/>
    </font>
    <font>
      <sz val="12"/>
      <color indexed="10"/>
      <name val="楷体"/>
      <family val="3"/>
      <charset val="134"/>
    </font>
    <font>
      <sz val="14"/>
      <color indexed="9"/>
      <name val="楷体"/>
      <family val="3"/>
      <charset val="134"/>
    </font>
    <font>
      <i/>
      <u/>
      <sz val="16"/>
      <name val="楷体"/>
      <family val="3"/>
      <charset val="134"/>
    </font>
    <font>
      <i/>
      <sz val="16"/>
      <name val="楷体"/>
      <family val="3"/>
      <charset val="134"/>
    </font>
    <font>
      <i/>
      <sz val="16"/>
      <color indexed="12"/>
      <name val="楷体"/>
      <family val="3"/>
      <charset val="134"/>
    </font>
    <font>
      <sz val="16"/>
      <color indexed="12"/>
      <name val="楷体"/>
      <family val="3"/>
      <charset val="134"/>
    </font>
    <font>
      <sz val="14"/>
      <color rgb="FFFFFFFF"/>
      <name val="楷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4" borderId="3" xfId="0" quotePrefix="1" applyFont="1" applyFill="1" applyBorder="1" applyAlignment="1">
      <alignment horizontal="center"/>
    </xf>
    <xf numFmtId="176" fontId="1" fillId="7" borderId="2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177" fontId="3" fillId="8" borderId="3" xfId="0" applyNumberFormat="1" applyFont="1" applyFill="1" applyBorder="1" applyAlignment="1">
      <alignment horizontal="center"/>
    </xf>
    <xf numFmtId="2" fontId="3" fillId="8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" fillId="7" borderId="2" xfId="0" applyFont="1" applyFill="1" applyBorder="1" applyAlignment="1">
      <alignment wrapText="1"/>
    </xf>
    <xf numFmtId="177" fontId="3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left" vertical="center"/>
    </xf>
    <xf numFmtId="2" fontId="3" fillId="8" borderId="3" xfId="0" applyNumberFormat="1" applyFont="1" applyFill="1" applyBorder="1" applyAlignment="1">
      <alignment horizontal="center" vertical="center"/>
    </xf>
    <xf numFmtId="177" fontId="3" fillId="0" borderId="0" xfId="0" applyNumberFormat="1" applyFont="1">
      <alignment vertical="center"/>
    </xf>
    <xf numFmtId="178" fontId="3" fillId="8" borderId="3" xfId="0" applyNumberFormat="1" applyFont="1" applyFill="1" applyBorder="1" applyAlignment="1">
      <alignment horizontal="center"/>
    </xf>
    <xf numFmtId="177" fontId="3" fillId="9" borderId="3" xfId="0" applyNumberFormat="1" applyFont="1" applyFill="1" applyBorder="1" applyAlignment="1">
      <alignment horizontal="center"/>
    </xf>
    <xf numFmtId="176" fontId="3" fillId="9" borderId="3" xfId="0" applyNumberFormat="1" applyFont="1" applyFill="1" applyBorder="1" applyAlignment="1">
      <alignment horizontal="center" vertical="center"/>
    </xf>
    <xf numFmtId="176" fontId="3" fillId="11" borderId="3" xfId="0" applyNumberFormat="1" applyFont="1" applyFill="1" applyBorder="1" applyAlignment="1">
      <alignment horizontal="center" vertical="center"/>
    </xf>
    <xf numFmtId="176" fontId="3" fillId="12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>
      <alignment vertical="center"/>
    </xf>
    <xf numFmtId="177" fontId="3" fillId="9" borderId="5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>
      <alignment vertical="center"/>
    </xf>
    <xf numFmtId="0" fontId="3" fillId="9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7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shrinkToFit="1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76" fontId="3" fillId="12" borderId="3" xfId="0" applyNumberFormat="1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 vertical="center"/>
    </xf>
    <xf numFmtId="177" fontId="3" fillId="9" borderId="3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1" fillId="16" borderId="7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4" fillId="0" borderId="0" xfId="0" applyFont="1">
      <alignment vertical="center"/>
    </xf>
    <xf numFmtId="0" fontId="6" fillId="0" borderId="0" xfId="0" applyFont="1" applyFill="1" applyBorder="1" applyAlignment="1">
      <alignment vertical="center" wrapText="1"/>
    </xf>
    <xf numFmtId="177" fontId="3" fillId="0" borderId="3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6" fillId="0" borderId="6" xfId="0" quotePrefix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603249</xdr:colOff>
      <xdr:row>41</xdr:row>
      <xdr:rowOff>21167</xdr:rowOff>
    </xdr:from>
    <xdr:ext cx="184731" cy="792525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35ACF125-613E-4D6C-9A47-657AA6B96CDE}"/>
            </a:ext>
          </a:extLst>
        </xdr:cNvPr>
        <xdr:cNvSpPr txBox="1"/>
      </xdr:nvSpPr>
      <xdr:spPr>
        <a:xfrm>
          <a:off x="603249" y="8898467"/>
          <a:ext cx="184731" cy="792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altLang="zh-TW" sz="1400">
            <a:solidFill>
              <a:schemeClr val="tx1"/>
            </a:solidFill>
            <a:effectLst/>
            <a:latin typeface="楷体" panose="02010609060101010101" pitchFamily="49" charset="-122"/>
            <a:ea typeface="楷体" panose="02010609060101010101" pitchFamily="49" charset="-122"/>
            <a:cs typeface="+mn-cs"/>
          </a:endParaRPr>
        </a:p>
        <a:p>
          <a:endParaRPr lang="en-US" altLang="zh-TW" sz="1400">
            <a:solidFill>
              <a:srgbClr val="FF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  <a:p>
          <a:endParaRPr lang="zh-TW" altLang="en-US" sz="1400">
            <a:solidFill>
              <a:srgbClr val="FF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2E28-5AC6-4422-86B1-B350B7C416BA}">
  <dimension ref="A1:N39"/>
  <sheetViews>
    <sheetView tabSelected="1" topLeftCell="A4" workbookViewId="0">
      <selection activeCell="F27" sqref="F27:G27"/>
    </sheetView>
  </sheetViews>
  <sheetFormatPr defaultRowHeight="14.25"/>
  <cols>
    <col min="1" max="1" width="17.75" style="1" customWidth="1"/>
    <col min="2" max="2" width="9" style="4"/>
    <col min="3" max="3" width="60.5" style="1" bestFit="1" customWidth="1"/>
    <col min="4" max="4" width="13.625" style="1" customWidth="1"/>
    <col min="5" max="6" width="13.875" style="1" bestFit="1" customWidth="1"/>
    <col min="7" max="7" width="12.75" style="1" bestFit="1" customWidth="1"/>
    <col min="8" max="8" width="11.625" style="1" bestFit="1" customWidth="1"/>
    <col min="9" max="9" width="9" style="1"/>
    <col min="10" max="10" width="8.875" style="1" customWidth="1"/>
    <col min="11" max="11" width="9" style="1"/>
    <col min="12" max="14" width="15.625" style="1" customWidth="1"/>
    <col min="15" max="16384" width="9" style="1"/>
  </cols>
  <sheetData>
    <row r="1" spans="1:14" ht="40.5" customHeight="1">
      <c r="A1" s="83"/>
      <c r="B1" s="83"/>
      <c r="C1" s="83"/>
      <c r="D1" s="83"/>
      <c r="E1" s="83"/>
      <c r="F1" s="83"/>
      <c r="G1" s="83"/>
      <c r="H1" s="83"/>
      <c r="I1" s="83"/>
    </row>
    <row r="2" spans="1:14" ht="30" customHeight="1">
      <c r="A2" s="55" t="s">
        <v>41</v>
      </c>
      <c r="B2" s="2"/>
      <c r="C2" s="2"/>
      <c r="D2" s="2"/>
      <c r="E2" s="2"/>
      <c r="F2" s="2"/>
      <c r="G2" s="2"/>
      <c r="H2" s="2"/>
      <c r="I2" s="3"/>
      <c r="J2" s="4"/>
    </row>
    <row r="3" spans="1:14">
      <c r="A3" s="5" t="s">
        <v>0</v>
      </c>
      <c r="B3" s="56" t="s">
        <v>1</v>
      </c>
      <c r="C3" s="57" t="s">
        <v>2</v>
      </c>
      <c r="D3" s="6" t="s">
        <v>3</v>
      </c>
      <c r="E3" s="7" t="s">
        <v>4</v>
      </c>
      <c r="F3" s="58" t="s">
        <v>5</v>
      </c>
      <c r="G3" s="58" t="s">
        <v>6</v>
      </c>
      <c r="H3" s="59" t="s">
        <v>30</v>
      </c>
      <c r="I3" s="60" t="s">
        <v>37</v>
      </c>
    </row>
    <row r="4" spans="1:14">
      <c r="A4" s="5"/>
      <c r="B4" s="56"/>
      <c r="C4" s="61"/>
      <c r="D4" s="8" t="s">
        <v>7</v>
      </c>
      <c r="E4" s="8" t="s">
        <v>8</v>
      </c>
      <c r="F4" s="62" t="s">
        <v>9</v>
      </c>
      <c r="G4" s="62" t="s">
        <v>10</v>
      </c>
      <c r="H4" s="63"/>
      <c r="I4" s="64"/>
    </row>
    <row r="5" spans="1:14" ht="18.75">
      <c r="A5" s="9" t="s">
        <v>12</v>
      </c>
      <c r="B5" s="10">
        <v>1</v>
      </c>
      <c r="C5" s="11" t="s">
        <v>13</v>
      </c>
      <c r="D5" s="12">
        <v>140</v>
      </c>
      <c r="E5" s="12"/>
      <c r="F5" s="13">
        <v>0.15</v>
      </c>
      <c r="G5" s="13">
        <v>0.15</v>
      </c>
      <c r="H5" s="14">
        <f>IF(I5="常態", ROUND((F5+G5)/6, 3), ROUND((F5+G5)/SQRT(12), 3))</f>
        <v>0.05</v>
      </c>
      <c r="I5" s="15" t="s">
        <v>39</v>
      </c>
      <c r="N5" s="16" t="s">
        <v>40</v>
      </c>
    </row>
    <row r="6" spans="1:14" ht="18.75">
      <c r="A6" s="17"/>
      <c r="B6" s="10">
        <v>2</v>
      </c>
      <c r="C6" s="11" t="s">
        <v>15</v>
      </c>
      <c r="D6" s="18">
        <v>5</v>
      </c>
      <c r="E6" s="12"/>
      <c r="F6" s="13">
        <v>0.1</v>
      </c>
      <c r="G6" s="13">
        <v>0.1</v>
      </c>
      <c r="H6" s="14">
        <f t="shared" ref="H6:H21" si="0">IF(I6="常態", ROUND((F6+G6)/6, 3), ROUND((F6+G6)/SQRT(12), 3))</f>
        <v>3.3000000000000002E-2</v>
      </c>
      <c r="I6" s="15" t="s">
        <v>14</v>
      </c>
      <c r="N6" s="15" t="s">
        <v>14</v>
      </c>
    </row>
    <row r="7" spans="1:14" ht="18.75">
      <c r="A7" s="17"/>
      <c r="B7" s="10">
        <v>3</v>
      </c>
      <c r="C7" s="19" t="s">
        <v>16</v>
      </c>
      <c r="D7" s="20"/>
      <c r="E7" s="18"/>
      <c r="F7" s="13">
        <f>+F27</f>
        <v>0.35000000000000009</v>
      </c>
      <c r="G7" s="13">
        <f>+F27</f>
        <v>0.35000000000000009</v>
      </c>
      <c r="H7" s="14">
        <f t="shared" si="0"/>
        <v>0.20200000000000001</v>
      </c>
      <c r="I7" s="15" t="s">
        <v>36</v>
      </c>
      <c r="N7" s="21" t="s">
        <v>17</v>
      </c>
    </row>
    <row r="8" spans="1:14" ht="18.75">
      <c r="A8" s="17"/>
      <c r="B8" s="22">
        <v>4</v>
      </c>
      <c r="C8" s="23" t="s">
        <v>18</v>
      </c>
      <c r="D8" s="20"/>
      <c r="E8" s="12" t="s">
        <v>19</v>
      </c>
      <c r="F8" s="13">
        <v>0.05</v>
      </c>
      <c r="G8" s="13">
        <v>0.05</v>
      </c>
      <c r="H8" s="14">
        <f t="shared" si="0"/>
        <v>1.7000000000000001E-2</v>
      </c>
      <c r="I8" s="15" t="s">
        <v>14</v>
      </c>
    </row>
    <row r="9" spans="1:14" ht="18.75">
      <c r="A9" s="17"/>
      <c r="B9" s="10">
        <v>5</v>
      </c>
      <c r="C9" s="11" t="s">
        <v>20</v>
      </c>
      <c r="D9" s="20"/>
      <c r="E9" s="12">
        <v>145</v>
      </c>
      <c r="F9" s="13">
        <v>0.15</v>
      </c>
      <c r="G9" s="13">
        <v>0.15</v>
      </c>
      <c r="H9" s="14">
        <f t="shared" si="0"/>
        <v>0.05</v>
      </c>
      <c r="I9" s="15" t="s">
        <v>14</v>
      </c>
    </row>
    <row r="10" spans="1:14" ht="18.75">
      <c r="A10" s="17"/>
      <c r="B10" s="10">
        <v>6</v>
      </c>
      <c r="C10" s="11"/>
      <c r="D10" s="20"/>
      <c r="E10" s="12"/>
      <c r="F10" s="13"/>
      <c r="G10" s="13"/>
      <c r="H10" s="14">
        <f t="shared" si="0"/>
        <v>0</v>
      </c>
      <c r="I10" s="15" t="s">
        <v>14</v>
      </c>
    </row>
    <row r="11" spans="1:14" ht="18.75">
      <c r="A11" s="17"/>
      <c r="B11" s="22">
        <v>7</v>
      </c>
      <c r="C11" s="19"/>
      <c r="D11" s="24"/>
      <c r="E11" s="12"/>
      <c r="F11" s="25"/>
      <c r="G11" s="25"/>
      <c r="H11" s="14">
        <f t="shared" si="0"/>
        <v>0</v>
      </c>
      <c r="I11" s="15" t="s">
        <v>14</v>
      </c>
      <c r="N11" s="26"/>
    </row>
    <row r="12" spans="1:14" ht="18.75">
      <c r="A12" s="17"/>
      <c r="B12" s="22">
        <v>8</v>
      </c>
      <c r="C12" s="19"/>
      <c r="D12" s="24"/>
      <c r="E12" s="12"/>
      <c r="F12" s="13"/>
      <c r="G12" s="13"/>
      <c r="H12" s="14">
        <f t="shared" si="0"/>
        <v>0</v>
      </c>
      <c r="I12" s="15" t="s">
        <v>14</v>
      </c>
    </row>
    <row r="13" spans="1:14" ht="18.75">
      <c r="A13" s="17"/>
      <c r="B13" s="22">
        <v>9</v>
      </c>
      <c r="C13" s="19"/>
      <c r="D13" s="24"/>
      <c r="E13" s="12"/>
      <c r="F13" s="25"/>
      <c r="G13" s="25"/>
      <c r="H13" s="14">
        <f t="shared" si="0"/>
        <v>0</v>
      </c>
      <c r="I13" s="15" t="s">
        <v>14</v>
      </c>
    </row>
    <row r="14" spans="1:14" ht="18.75">
      <c r="A14" s="17"/>
      <c r="B14" s="22">
        <v>10</v>
      </c>
      <c r="C14" s="19"/>
      <c r="D14" s="24"/>
      <c r="E14" s="12"/>
      <c r="F14" s="25"/>
      <c r="G14" s="25"/>
      <c r="H14" s="14">
        <f t="shared" si="0"/>
        <v>0</v>
      </c>
      <c r="I14" s="15" t="s">
        <v>14</v>
      </c>
    </row>
    <row r="15" spans="1:14" ht="18.75">
      <c r="A15" s="17"/>
      <c r="B15" s="22">
        <v>11</v>
      </c>
      <c r="C15" s="19"/>
      <c r="D15" s="24"/>
      <c r="E15" s="12"/>
      <c r="F15" s="25"/>
      <c r="G15" s="25"/>
      <c r="H15" s="14">
        <f t="shared" si="0"/>
        <v>0</v>
      </c>
      <c r="I15" s="15" t="s">
        <v>14</v>
      </c>
    </row>
    <row r="16" spans="1:14" ht="18.75">
      <c r="A16" s="17"/>
      <c r="B16" s="22">
        <v>12</v>
      </c>
      <c r="C16" s="19"/>
      <c r="D16" s="24"/>
      <c r="E16" s="12"/>
      <c r="F16" s="25"/>
      <c r="G16" s="25"/>
      <c r="H16" s="14">
        <f t="shared" si="0"/>
        <v>0</v>
      </c>
      <c r="I16" s="15" t="s">
        <v>14</v>
      </c>
    </row>
    <row r="17" spans="1:14" ht="18.75">
      <c r="A17" s="17"/>
      <c r="B17" s="10">
        <v>13</v>
      </c>
      <c r="C17" s="11"/>
      <c r="D17" s="20"/>
      <c r="E17" s="12"/>
      <c r="F17" s="13"/>
      <c r="G17" s="13"/>
      <c r="H17" s="14">
        <f t="shared" si="0"/>
        <v>0</v>
      </c>
      <c r="I17" s="15" t="s">
        <v>14</v>
      </c>
    </row>
    <row r="18" spans="1:14" ht="18.75">
      <c r="A18" s="17"/>
      <c r="B18" s="10">
        <v>14</v>
      </c>
      <c r="C18" s="11"/>
      <c r="D18" s="20"/>
      <c r="E18" s="27"/>
      <c r="F18" s="13"/>
      <c r="G18" s="13"/>
      <c r="H18" s="14">
        <f t="shared" si="0"/>
        <v>0</v>
      </c>
      <c r="I18" s="15" t="s">
        <v>14</v>
      </c>
    </row>
    <row r="19" spans="1:14" ht="18.75">
      <c r="A19" s="17"/>
      <c r="B19" s="22">
        <v>15</v>
      </c>
      <c r="C19" s="19"/>
      <c r="D19" s="24"/>
      <c r="E19" s="27"/>
      <c r="F19" s="13"/>
      <c r="G19" s="13"/>
      <c r="H19" s="14">
        <f t="shared" si="0"/>
        <v>0</v>
      </c>
      <c r="I19" s="15" t="s">
        <v>14</v>
      </c>
    </row>
    <row r="20" spans="1:14" ht="18.75">
      <c r="A20" s="17"/>
      <c r="B20" s="10">
        <v>16</v>
      </c>
      <c r="C20" s="11"/>
      <c r="D20" s="20"/>
      <c r="E20" s="27"/>
      <c r="F20" s="13"/>
      <c r="G20" s="13"/>
      <c r="H20" s="14">
        <f t="shared" si="0"/>
        <v>0</v>
      </c>
      <c r="I20" s="15" t="s">
        <v>14</v>
      </c>
    </row>
    <row r="21" spans="1:14" ht="18.75">
      <c r="A21" s="17"/>
      <c r="B21" s="10">
        <v>17</v>
      </c>
      <c r="C21" s="11"/>
      <c r="D21" s="20"/>
      <c r="E21" s="27"/>
      <c r="F21" s="13"/>
      <c r="G21" s="13"/>
      <c r="H21" s="14">
        <f t="shared" si="0"/>
        <v>0</v>
      </c>
      <c r="I21" s="15" t="s">
        <v>14</v>
      </c>
    </row>
    <row r="22" spans="1:14">
      <c r="A22" s="42" t="s">
        <v>21</v>
      </c>
      <c r="B22" s="42"/>
      <c r="C22" s="42"/>
      <c r="D22" s="28">
        <f>SUM(D5:D21)</f>
        <v>145</v>
      </c>
      <c r="E22" s="38">
        <f>SUM(E5:E21)</f>
        <v>145</v>
      </c>
      <c r="F22" s="39">
        <f>SUM(F5:F21)</f>
        <v>0.80000000000000016</v>
      </c>
      <c r="G22" s="39">
        <f>SUM(G5:G21)</f>
        <v>0.80000000000000016</v>
      </c>
    </row>
    <row r="23" spans="1:14" s="34" customFormat="1">
      <c r="A23" s="36"/>
      <c r="B23" s="36"/>
      <c r="C23" s="36"/>
      <c r="D23" s="40"/>
      <c r="E23" s="76" t="s">
        <v>42</v>
      </c>
      <c r="F23" s="76"/>
      <c r="G23" s="76"/>
    </row>
    <row r="24" spans="1:14" s="34" customFormat="1">
      <c r="A24" s="36"/>
      <c r="B24" s="36"/>
      <c r="C24" s="36"/>
      <c r="D24" s="40"/>
      <c r="E24" s="77" t="s">
        <v>11</v>
      </c>
      <c r="F24" s="78" t="s">
        <v>7</v>
      </c>
      <c r="G24" s="78" t="s">
        <v>8</v>
      </c>
    </row>
    <row r="25" spans="1:14" s="34" customFormat="1">
      <c r="A25" s="36"/>
      <c r="B25" s="36"/>
      <c r="C25" s="36"/>
      <c r="D25" s="40"/>
      <c r="E25" s="79">
        <v>3.5</v>
      </c>
      <c r="F25" s="79">
        <v>0.1</v>
      </c>
      <c r="G25" s="79">
        <v>0</v>
      </c>
    </row>
    <row r="26" spans="1:14" s="34" customFormat="1">
      <c r="A26" s="36"/>
      <c r="B26" s="36"/>
      <c r="C26" s="36"/>
      <c r="D26" s="40"/>
      <c r="E26" s="79">
        <v>3</v>
      </c>
      <c r="F26" s="79">
        <v>0</v>
      </c>
      <c r="G26" s="79">
        <v>0.1</v>
      </c>
    </row>
    <row r="27" spans="1:14" s="41" customFormat="1">
      <c r="A27" s="36"/>
      <c r="B27" s="36"/>
      <c r="C27" s="36"/>
      <c r="D27" s="40"/>
      <c r="E27" s="79" t="s">
        <v>43</v>
      </c>
      <c r="F27" s="80">
        <f>+((E25+F25)-(E26-G26))/2</f>
        <v>0.35000000000000009</v>
      </c>
      <c r="G27" s="81"/>
    </row>
    <row r="28" spans="1:14">
      <c r="A28" s="54" t="s">
        <v>19</v>
      </c>
      <c r="B28" s="54"/>
      <c r="C28" s="54"/>
      <c r="E28" s="79" t="s">
        <v>35</v>
      </c>
      <c r="F28" s="75">
        <f>+D22-E22</f>
        <v>0</v>
      </c>
      <c r="G28" s="75"/>
    </row>
    <row r="29" spans="1:14">
      <c r="A29" s="35"/>
      <c r="B29" s="35"/>
      <c r="C29" s="35"/>
      <c r="E29" s="82" t="s">
        <v>22</v>
      </c>
      <c r="F29" s="79">
        <f>+F22</f>
        <v>0.80000000000000016</v>
      </c>
      <c r="G29" s="79">
        <f>+G22</f>
        <v>0.80000000000000016</v>
      </c>
    </row>
    <row r="30" spans="1:14">
      <c r="A30" s="43" t="s">
        <v>23</v>
      </c>
      <c r="B30" s="43"/>
      <c r="C30" s="43" t="s">
        <v>31</v>
      </c>
      <c r="D30" s="43"/>
      <c r="E30" s="43"/>
      <c r="F30" s="29">
        <f>+ROUND(SUMSQ(H5:H21),3)</f>
        <v>4.7E-2</v>
      </c>
      <c r="G30" s="29">
        <f>+ROUND(SUMSQ(H5:H21),3)</f>
        <v>4.7E-2</v>
      </c>
      <c r="H30" s="37"/>
      <c r="I30" s="37"/>
    </row>
    <row r="31" spans="1:14">
      <c r="A31" s="43"/>
      <c r="B31" s="43"/>
      <c r="C31" s="44" t="s">
        <v>44</v>
      </c>
      <c r="D31" s="44"/>
      <c r="E31" s="44"/>
      <c r="F31" s="30">
        <f>+ROUND(SQRT(F30),3)</f>
        <v>0.217</v>
      </c>
      <c r="G31" s="30">
        <f>+ROUND(SQRT(G30),3)</f>
        <v>0.217</v>
      </c>
      <c r="H31" s="37"/>
      <c r="I31" s="53"/>
      <c r="J31" s="53"/>
      <c r="K31" s="53"/>
      <c r="L31" s="53"/>
      <c r="M31" s="53"/>
      <c r="N31" s="53"/>
    </row>
    <row r="32" spans="1:14">
      <c r="A32" s="43"/>
      <c r="B32" s="43"/>
      <c r="C32" s="65" t="s">
        <v>24</v>
      </c>
      <c r="D32" s="65"/>
      <c r="E32" s="65"/>
      <c r="F32" s="31">
        <f>3*F31</f>
        <v>0.65100000000000002</v>
      </c>
      <c r="G32" s="31">
        <f>3*G31</f>
        <v>0.65100000000000002</v>
      </c>
      <c r="H32" s="37"/>
      <c r="I32" s="53"/>
      <c r="J32" s="53"/>
      <c r="K32" s="53"/>
      <c r="L32" s="53"/>
      <c r="M32" s="53"/>
      <c r="N32" s="53"/>
    </row>
    <row r="33" spans="1:14">
      <c r="A33" s="43"/>
      <c r="B33" s="43"/>
      <c r="C33" s="44" t="s">
        <v>45</v>
      </c>
      <c r="D33" s="44"/>
      <c r="E33" s="44"/>
      <c r="F33" s="30">
        <f>4.5*F31</f>
        <v>0.97650000000000003</v>
      </c>
      <c r="G33" s="30">
        <f>4.5*G31</f>
        <v>0.97650000000000003</v>
      </c>
      <c r="H33" s="37"/>
      <c r="I33" s="53"/>
      <c r="J33" s="53"/>
      <c r="K33" s="53"/>
      <c r="L33" s="53"/>
      <c r="M33" s="53"/>
      <c r="N33" s="53"/>
    </row>
    <row r="34" spans="1:14" s="34" customFormat="1">
      <c r="A34" s="33"/>
      <c r="B34" s="33"/>
      <c r="C34" s="51"/>
      <c r="D34" s="51"/>
      <c r="E34" s="51"/>
      <c r="F34" s="52"/>
      <c r="G34" s="52"/>
      <c r="H34" s="41"/>
      <c r="I34" s="41"/>
    </row>
    <row r="35" spans="1:14">
      <c r="A35" s="43" t="s">
        <v>46</v>
      </c>
      <c r="B35" s="43"/>
      <c r="C35" s="43"/>
      <c r="D35" s="43"/>
      <c r="E35" s="43"/>
      <c r="F35" s="43"/>
      <c r="G35" s="43"/>
      <c r="H35" s="43"/>
      <c r="I35" s="43"/>
    </row>
    <row r="36" spans="1:14" ht="16.5" customHeight="1">
      <c r="A36" s="56" t="s">
        <v>25</v>
      </c>
      <c r="B36" s="56"/>
      <c r="C36" s="48" t="s">
        <v>26</v>
      </c>
      <c r="D36" s="48"/>
      <c r="E36" s="46" t="s">
        <v>27</v>
      </c>
      <c r="F36" s="30" t="s">
        <v>32</v>
      </c>
      <c r="G36" s="66" t="str">
        <f>IF(F32&gt;F37,"&lt;",IF(G32&gt;F37,"&lt;","≧"))</f>
        <v>&lt;</v>
      </c>
      <c r="H36" s="16" t="s">
        <v>33</v>
      </c>
      <c r="I36" s="16" t="s">
        <v>34</v>
      </c>
    </row>
    <row r="37" spans="1:14" ht="60.75" customHeight="1">
      <c r="A37" s="56"/>
      <c r="B37" s="56"/>
      <c r="C37" s="48"/>
      <c r="D37" s="48"/>
      <c r="E37" s="46"/>
      <c r="F37" s="67">
        <v>0.25</v>
      </c>
      <c r="G37" s="66"/>
      <c r="H37" s="45" t="s">
        <v>24</v>
      </c>
      <c r="I37" s="68" t="str">
        <f>IF(G36="≧","OK","NG")</f>
        <v>NG</v>
      </c>
      <c r="J37" s="74" t="s">
        <v>19</v>
      </c>
      <c r="K37" s="47"/>
      <c r="L37" s="47"/>
      <c r="M37" s="47"/>
      <c r="N37" s="47"/>
    </row>
    <row r="38" spans="1:14" ht="39.950000000000003" customHeight="1">
      <c r="A38" s="56" t="s">
        <v>28</v>
      </c>
      <c r="B38" s="32"/>
      <c r="C38" s="49" t="s">
        <v>29</v>
      </c>
      <c r="D38" s="49"/>
      <c r="E38" s="50" t="str">
        <f>IF(I37="OK","N/A","Need input modify items")</f>
        <v>Need input modify items</v>
      </c>
      <c r="F38" s="50"/>
      <c r="G38" s="50"/>
      <c r="H38" s="50"/>
      <c r="I38" s="50"/>
    </row>
    <row r="39" spans="1:14" s="73" customFormat="1" ht="63.95" customHeight="1">
      <c r="A39" s="69" t="s">
        <v>38</v>
      </c>
      <c r="B39" s="70"/>
      <c r="C39" s="70"/>
      <c r="D39" s="70"/>
      <c r="E39" s="70"/>
      <c r="F39" s="70"/>
      <c r="G39" s="70"/>
      <c r="H39" s="70"/>
      <c r="I39" s="71"/>
      <c r="J39" s="72"/>
    </row>
  </sheetData>
  <sheetProtection algorithmName="SHA-512" hashValue="pPsAD45gleKqd1AX4LI4ku4UnoxbT8zKn96t3mlfnc1lyY8NdUBuhN2zLE9xJBYj759p2H+GxEXFbRwNW2a/Mg==" saltValue="hV2Fy61mKoKI2vx7zYv2hQ==" spinCount="100000" sheet="1" objects="1" scenarios="1"/>
  <protectedRanges>
    <protectedRange sqref="A2 D5:G21 E25 E26 F25 F26 G25 G26 F37 C36 C38" name="範圍1"/>
  </protectedRanges>
  <mergeCells count="25">
    <mergeCell ref="E36:E37"/>
    <mergeCell ref="G36:G37"/>
    <mergeCell ref="A35:I35"/>
    <mergeCell ref="A39:I39"/>
    <mergeCell ref="A38:B38"/>
    <mergeCell ref="E38:I38"/>
    <mergeCell ref="H3:H4"/>
    <mergeCell ref="A36:B37"/>
    <mergeCell ref="C36:D37"/>
    <mergeCell ref="C38:D38"/>
    <mergeCell ref="A30:B33"/>
    <mergeCell ref="C30:E30"/>
    <mergeCell ref="C31:E31"/>
    <mergeCell ref="C32:E32"/>
    <mergeCell ref="C33:E33"/>
    <mergeCell ref="A5:A21"/>
    <mergeCell ref="F27:G27"/>
    <mergeCell ref="A22:C22"/>
    <mergeCell ref="F28:G28"/>
    <mergeCell ref="A2:I2"/>
    <mergeCell ref="A3:A4"/>
    <mergeCell ref="B3:B4"/>
    <mergeCell ref="C3:C4"/>
    <mergeCell ref="E23:G23"/>
    <mergeCell ref="I3:I4"/>
  </mergeCells>
  <phoneticPr fontId="2" type="noConversion"/>
  <dataValidations disablePrompts="1" count="1">
    <dataValidation type="list" allowBlank="1" showInputMessage="1" showErrorMessage="1" sqref="I5:I21" xr:uid="{79194526-3A96-4BF9-B78F-F7FEBD1BEF59}">
      <formula1>$N$6:$N$7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西格瑪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2026-06-09T02:03:18Z</dcterms:created>
  <dcterms:modified xsi:type="dcterms:W3CDTF">2026-06-09T06:16:58Z</dcterms:modified>
</cp:coreProperties>
</file>